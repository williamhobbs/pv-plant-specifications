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illh\Downloads\"/>
    </mc:Choice>
  </mc:AlternateContent>
  <xr:revisionPtr revIDLastSave="0" documentId="8_{41A7F523-5958-4573-928D-A312447D846E}" xr6:coauthVersionLast="47" xr6:coauthVersionMax="47" xr10:uidLastSave="{00000000-0000-0000-0000-000000000000}"/>
  <bookViews>
    <workbookView xWindow="-108" yWindow="-108" windowWidth="23256" windowHeight="12456" xr2:uid="{22B9203D-92B9-4B2B-BE9E-5EC907583C8D}"/>
  </bookViews>
  <sheets>
    <sheet name="Sheet1" sheetId="1" r:id="rId1"/>
    <sheet name="Sheet2" sheetId="2" r:id="rId2"/>
  </sheets>
  <definedNames>
    <definedName name="_xlnm._FilterDatabase" localSheetId="0" hidden="1">Sheet1!$A$1:$P$1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E29" i="1"/>
  <c r="D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tc={843664C3-1306-48C3-B128-30029034F2D5}</author>
  </authors>
  <commentList>
    <comment ref="D3" authorId="0" shapeId="0" xr:uid="{843664C3-1306-48C3-B128-30029034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limited to a box around Southern Company’s Balancing Area</t>
      </text>
    </comment>
  </commentList>
</comments>
</file>

<file path=xl/sharedStrings.xml><?xml version="1.0" encoding="utf-8"?>
<sst xmlns="http://schemas.openxmlformats.org/spreadsheetml/2006/main" count="255" uniqueCount="170">
  <si>
    <t>Short Name:</t>
  </si>
  <si>
    <t>Other Name</t>
  </si>
  <si>
    <t>Asset Type</t>
  </si>
  <si>
    <t>COD</t>
  </si>
  <si>
    <t>Latitude</t>
  </si>
  <si>
    <t>Longitude</t>
  </si>
  <si>
    <t>Altitude</t>
  </si>
  <si>
    <t>Array mount type</t>
  </si>
  <si>
    <t>Fixed array azimuth</t>
  </si>
  <si>
    <t>Fixed array tilt</t>
  </si>
  <si>
    <t>Tracker rotation axis azimuth</t>
  </si>
  <si>
    <t>Tracker rotation axis tilt</t>
  </si>
  <si>
    <t>Backtracking</t>
  </si>
  <si>
    <t>Tracker rotation limit</t>
  </si>
  <si>
    <t>Ground coverage ratio</t>
  </si>
  <si>
    <t>Plant-level PV DC capacity</t>
  </si>
  <si>
    <t>Plant max AC power</t>
  </si>
  <si>
    <t>Cell type</t>
  </si>
  <si>
    <t>Bifacial</t>
  </si>
  <si>
    <t>Bifaciality factor</t>
  </si>
  <si>
    <t>Module orientation</t>
  </si>
  <si>
    <t>Number of modules along the row side</t>
  </si>
  <si>
    <t>DC loss fraction</t>
  </si>
  <si>
    <t>Temperature coefficient of power</t>
  </si>
  <si>
    <t>Row center height</t>
  </si>
  <si>
    <t>Row pitch</t>
  </si>
  <si>
    <t>Inverter-level PV array DC capacity</t>
  </si>
  <si>
    <t>Inverter max AC power</t>
  </si>
  <si>
    <t>Modules per string</t>
  </si>
  <si>
    <t>Strings per inverter</t>
  </si>
  <si>
    <t>Numer of inverters</t>
  </si>
  <si>
    <t>PV module model name</t>
  </si>
  <si>
    <t>Inverter model name</t>
  </si>
  <si>
    <t>Shade loss model type</t>
  </si>
  <si>
    <t>Number of cells up</t>
  </si>
  <si>
    <t>Module length</t>
  </si>
  <si>
    <t>Module width</t>
  </si>
  <si>
    <t>Module Spec Sheet URL</t>
  </si>
  <si>
    <t>Units:</t>
  </si>
  <si>
    <t>degrees</t>
  </si>
  <si>
    <t>meters</t>
  </si>
  <si>
    <t>N/A</t>
  </si>
  <si>
    <t>kW</t>
  </si>
  <si>
    <t>ratio</t>
  </si>
  <si>
    <t>dimensionless</t>
  </si>
  <si>
    <t>1/C</t>
  </si>
  <si>
    <t>m</t>
  </si>
  <si>
    <t>Description:</t>
  </si>
  <si>
    <t>altitude above sea level in meters</t>
  </si>
  <si>
    <t>Type of mounting/racking system. Options include: "fixed", "single-axis", "dual-axis", fixed-rooftop", "fixed-split" (e.g., for split East-West systems)</t>
  </si>
  <si>
    <t>tilt of a fixed-tilt array (0=horizontal)</t>
  </si>
  <si>
    <t>A value denoting the compass direction along which the axis of rotation lies. Measured in decimal degrees east of north. [copied from pvlib docs]</t>
  </si>
  <si>
    <t>does it use backtracking ("True") or True-tracking ("False")</t>
  </si>
  <si>
    <t>maximum tracker rotation angle to either size of horizontal. Examples of typical values are 45, 52, or 60 degrees</t>
  </si>
  <si>
    <t>Ground coverage ratio. A value denoting the ground coverage ratio of a tracker system which utilizes backtracking; i.e. the ratio between the PV array surface area to total ground area. A tracker system with modules 2 meters wide, centered on the tracking axis, with 6 meters between the tracking axes has a gcr of 2/6=0.333. gcr must be &lt;=1. [modified from pvlib docs]</t>
  </si>
  <si>
    <t>DC rated capacity of the plant under Standard Test Conditions (STC)</t>
  </si>
  <si>
    <t>Maximum AC power (nameplate) of the plant at the point of metering or interconnection. Equal to or less than the sum of inverter max AC power values for a plant.</t>
  </si>
  <si>
    <t>Type of cells, primarily for shade impact modeling. Options are "crystalline", "crystalline_half-cut", "thin-film"</t>
  </si>
  <si>
    <t>"True" if modules are bifacial, otherwise "False"</t>
  </si>
  <si>
    <t>Ratio of rear performance to front performance under Standard Test Conditions (STC). Typicaly values are 0.65-0.95.</t>
  </si>
  <si>
    <t>"portrait" if the short edge of the module is parallel to the ground, "landscape" if the long edge of the module is parallel to the ground.</t>
  </si>
  <si>
    <t>Number of modules along the side of each row. For example, for a typical "1P" (one module in portrait" tracker, this value is 1.; for "2P" tracker or fixed systems, this value is 2, etc.</t>
  </si>
  <si>
    <t>System losses as a fraction, e.g., 0.10 for 10% losses.</t>
  </si>
  <si>
    <t>temperature coefficient of power, typically -0.002 to -0.005 per degree Celsius</t>
  </si>
  <si>
    <t xml:space="preserve">Height of the center point of the row above the ground; must be in the same units as pitch. [copied from pvlib docs] </t>
  </si>
  <si>
    <t>Distance between rows from a common point (e.g., front edge to front edge, NOT front edge to back edge); must be in the same units as height.</t>
  </si>
  <si>
    <t>DC rated capacity of the array connected to an inverter under Standard Test Conditions (STC)</t>
  </si>
  <si>
    <t>Maximum AC power output of an inverter (real or active power).</t>
  </si>
  <si>
    <t>Number of modules per string</t>
  </si>
  <si>
    <t>Number of strings per inverter</t>
  </si>
  <si>
    <t>Number of inverters in the plant/asset</t>
  </si>
  <si>
    <t>The full model of module used. Multiple moded can be separated by a semicolon or similar</t>
  </si>
  <si>
    <t>The full model of inverter used</t>
  </si>
  <si>
    <t>Description of shade loss model. Can be "linear", "non-linear_simple", or "non-linear_simple_twin_module".</t>
  </si>
  <si>
    <t>Required:</t>
  </si>
  <si>
    <t>REQUIRED</t>
  </si>
  <si>
    <t>REQUIRED (if fixed)</t>
  </si>
  <si>
    <t>REQUIRED (if single-axis)</t>
  </si>
  <si>
    <t>Variable:</t>
  </si>
  <si>
    <t>other_name</t>
  </si>
  <si>
    <t>owner_name</t>
  </si>
  <si>
    <t>asset_type</t>
  </si>
  <si>
    <t>cod</t>
  </si>
  <si>
    <t>latitude</t>
  </si>
  <si>
    <t>longitude</t>
  </si>
  <si>
    <t>latitude_solaranywhere</t>
  </si>
  <si>
    <t>longitude_solaranywhere</t>
  </si>
  <si>
    <t>altitude</t>
  </si>
  <si>
    <t>mount_type</t>
  </si>
  <si>
    <t>fixed_azimuth</t>
  </si>
  <si>
    <t>fixed_tilt</t>
  </si>
  <si>
    <t>axis_azimuth</t>
  </si>
  <si>
    <t>axis_tilt</t>
  </si>
  <si>
    <t>backtrack</t>
  </si>
  <si>
    <t>max_tracker_angle</t>
  </si>
  <si>
    <t>gcr</t>
  </si>
  <si>
    <t>dc_capacity_plant</t>
  </si>
  <si>
    <t>power_plant_ac_max</t>
  </si>
  <si>
    <t>cell_type</t>
  </si>
  <si>
    <t>bifacial</t>
  </si>
  <si>
    <t>bifaciality_factor</t>
  </si>
  <si>
    <t>module_orientation</t>
  </si>
  <si>
    <t>row_side_num_mods</t>
  </si>
  <si>
    <t>dc_loss_fraction</t>
  </si>
  <si>
    <t>gamma_pdc</t>
  </si>
  <si>
    <t>cross_axis_tilt</t>
  </si>
  <si>
    <t>row_height_center</t>
  </si>
  <si>
    <t>row_pitch</t>
  </si>
  <si>
    <t>dc_capacity_inverter</t>
  </si>
  <si>
    <t>power_inv_ac_max</t>
  </si>
  <si>
    <t>modules_per_string</t>
  </si>
  <si>
    <t>strings_per_inverter</t>
  </si>
  <si>
    <t>num_inverters</t>
  </si>
  <si>
    <t>module_model</t>
  </si>
  <si>
    <t>inverter_model</t>
  </si>
  <si>
    <t>shade_loss_model</t>
  </si>
  <si>
    <t>n_cells_up</t>
  </si>
  <si>
    <t>module_length</t>
  </si>
  <si>
    <t>module_width</t>
  </si>
  <si>
    <t>module_spec_url</t>
  </si>
  <si>
    <t>plant</t>
  </si>
  <si>
    <t>single-axis</t>
  </si>
  <si>
    <t>crystalline</t>
  </si>
  <si>
    <t>portrait</t>
  </si>
  <si>
    <t>non-linear_simple</t>
  </si>
  <si>
    <t>fixed</t>
  </si>
  <si>
    <t>sub-plant</t>
  </si>
  <si>
    <t>landscape</t>
  </si>
  <si>
    <t>linear</t>
  </si>
  <si>
    <t>crystalline_half-cut</t>
  </si>
  <si>
    <t>mixed</t>
  </si>
  <si>
    <t>non-linear_simple_twin_module</t>
  </si>
  <si>
    <t>backtrack; bifacial</t>
  </si>
  <si>
    <t>inverter</t>
  </si>
  <si>
    <t>NA</t>
  </si>
  <si>
    <t>dual-axis</t>
  </si>
  <si>
    <t>fixed-rooftop</t>
  </si>
  <si>
    <t>fixed-split</t>
  </si>
  <si>
    <t>EIA Plant Code</t>
  </si>
  <si>
    <t>Plant Name</t>
  </si>
  <si>
    <t>plant_name</t>
  </si>
  <si>
    <t>POI Longitude</t>
  </si>
  <si>
    <t>POI Latitude</t>
  </si>
  <si>
    <t>Approximate center of the plant, degrees North (decimal, positive for northern hemisphere)</t>
  </si>
  <si>
    <t>Approximate center of the plant, degrees East (decimal, negative for western hemisphere)</t>
  </si>
  <si>
    <t>Same as "longitude, but for the point of interconnection</t>
  </si>
  <si>
    <t>Same as "latitude", but for the point of interconnection</t>
  </si>
  <si>
    <t>Sample Fixed Plant</t>
  </si>
  <si>
    <t>Solar Company A, Inc.</t>
  </si>
  <si>
    <t>azimuth of a fixed-tilt array (0=North, 90=East, 180=South, 270=West)</t>
  </si>
  <si>
    <t>The tilt of the axis of rotation (i.e, the y-axis defined by axis_azimuth) with respect to horizontal. Typically 0. For systems sloping down to the North, use a negative number (e.g., -2 for tracker rotating axis sloping down by 2 degrees to the North). axis_tilt should be &gt;= -15 and &lt;= 15. </t>
  </si>
  <si>
    <t>Inputs:</t>
  </si>
  <si>
    <t>Owner/Operator</t>
  </si>
  <si>
    <t>Actual or projected commercial operation date, YYYY-MM-DD</t>
  </si>
  <si>
    <t>Width of PV module (short dimension) in meters</t>
  </si>
  <si>
    <t>Length of PV module (long dimension) in meters</t>
  </si>
  <si>
    <t>Publicly accessible web URL for module specification sheet</t>
  </si>
  <si>
    <t>https://us.qcells.com/wp-content/uploads/2023/06/Qcells_Data_sheet_Q.PEAK_DUO_XL-G10-BFG_series_475-490_2023-01_Rev02_NA.pdf</t>
  </si>
  <si>
    <t>Number of cells going up the long axis of the module. 12 is common for 72 cell modules, 24 or 26 is common for twin modules with half-cut cells. Thin-film modules often have 1.</t>
  </si>
  <si>
    <t>Sample Values:</t>
  </si>
  <si>
    <t>eia_plant_code</t>
  </si>
  <si>
    <t>REQUIRED (if available)</t>
  </si>
  <si>
    <t>NICE TO HAVE</t>
  </si>
  <si>
    <t>REQUIRED (if no module spec sheet provided)</t>
  </si>
  <si>
    <t>VERY NICE TO HAVE</t>
  </si>
  <si>
    <t>max</t>
  </si>
  <si>
    <t>min</t>
  </si>
  <si>
    <t>Cross axis slope</t>
  </si>
  <si>
    <t>The angle, relative to horizontal, of the line formed by the intersection between the slope containing the tracker axes and a plane perpendicular to the tracker axes. Cross-axis slope should be specified using a right-handed convention. For example, trackers with axis azimuth of 180 degrees (heading south) will have a negative cross-axis tilt if the tracker axes plane slopes down to the east and positive cross-axis slope if the tracker axes plane slopes down to the west. Also referred to as "cross-axis tilt".  [modified from pvlib docs]</t>
  </si>
  <si>
    <t>thin-film_cdte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</si>
</sst>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164" fontId="0" fillId="0" borderId="0" xfId="0" quotePrefix="1" applyNumberFormat="1"/>
    <xf numFmtId="0" fontId="2" fillId="0" borderId="0" xfId="0" applyFont="1"/>
    <xf numFmtId="0" fontId="3" fillId="0" borderId="0" xfId="1"/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5" fillId="0" borderId="0" xfId="0" applyFont="1"/>
    <xf numFmtId="0" fontId="1" fillId="0" borderId="0" xfId="0" applyFont="1" applyAlignment="1">
      <alignment wrapText="1"/>
    </xf>
    <xf numFmtId="0" fontId="1" fillId="3" borderId="0" xfId="0" applyFont="1" applyFill="1"/>
    <xf numFmtId="0" fontId="1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6" fillId="0" borderId="0" xfId="0" applyFont="1"/>
    <xf numFmtId="0" fontId="7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 Hobbs" id="{457141D2-9A38-4C76-8AE7-F32DA729A90F}" userId="c276d6aedc99bfc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12-04T17:56:12.14" personId="{457141D2-9A38-4C76-8AE7-F32DA729A90F}" id="{843664C3-1306-48C3-B128-30029034F2D5}">
    <text>Currently limited to a box around Southern Company’s Balancing Area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us.qcells.com/wp-content/uploads/2023/06/Qcells_Data_sheet_Q.PEAK_DUO_XL-G10-BFG_series_475-490_2023-01_Rev02_NA.pdf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EC40-0AEA-48C7-A672-D3D39C820D4C}">
  <dimension ref="A1:Q72"/>
  <sheetViews>
    <sheetView tabSelected="1" topLeftCell="A14" zoomScaleNormal="100" workbookViewId="0">
      <selection activeCell="I16" sqref="I16"/>
    </sheetView>
  </sheetViews>
  <sheetFormatPr defaultRowHeight="15" customHeight="1" x14ac:dyDescent="0.3"/>
  <cols>
    <col min="1" max="1" width="34.5546875" customWidth="1"/>
    <col min="2" max="2" width="15" bestFit="1" customWidth="1"/>
    <col min="3" max="3" width="49.44140625" style="7" customWidth="1"/>
    <col min="4" max="5" width="6.77734375" style="7" customWidth="1"/>
    <col min="6" max="6" width="40" bestFit="1" customWidth="1"/>
    <col min="7" max="7" width="20.109375" hidden="1" customWidth="1"/>
    <col min="8" max="8" width="20.109375" customWidth="1"/>
    <col min="9" max="18" width="18.88671875" customWidth="1"/>
    <col min="19" max="19" width="32.44140625" customWidth="1"/>
    <col min="20" max="20" width="18.88671875" customWidth="1"/>
  </cols>
  <sheetData>
    <row r="1" spans="1:17" ht="14.4" x14ac:dyDescent="0.3">
      <c r="A1" s="2" t="s">
        <v>0</v>
      </c>
      <c r="B1" s="2" t="s">
        <v>38</v>
      </c>
      <c r="C1" s="10" t="s">
        <v>47</v>
      </c>
      <c r="D1" s="10" t="s">
        <v>166</v>
      </c>
      <c r="E1" s="10" t="s">
        <v>165</v>
      </c>
      <c r="F1" s="2" t="s">
        <v>74</v>
      </c>
      <c r="G1" s="2" t="s">
        <v>78</v>
      </c>
      <c r="H1" s="2" t="s">
        <v>159</v>
      </c>
      <c r="I1" s="2" t="s">
        <v>151</v>
      </c>
      <c r="J1" s="2" t="s">
        <v>151</v>
      </c>
      <c r="K1" s="2" t="s">
        <v>151</v>
      </c>
      <c r="L1" s="2" t="s">
        <v>151</v>
      </c>
      <c r="M1" s="2" t="s">
        <v>151</v>
      </c>
      <c r="N1" s="2" t="s">
        <v>151</v>
      </c>
      <c r="O1" s="2" t="s">
        <v>151</v>
      </c>
      <c r="P1" s="2" t="s">
        <v>151</v>
      </c>
    </row>
    <row r="2" spans="1:17" ht="14.4" x14ac:dyDescent="0.3">
      <c r="A2" s="2" t="s">
        <v>139</v>
      </c>
      <c r="F2" s="11" t="s">
        <v>75</v>
      </c>
      <c r="G2" s="4" t="s">
        <v>140</v>
      </c>
      <c r="H2" t="s">
        <v>147</v>
      </c>
    </row>
    <row r="3" spans="1:17" ht="28.8" x14ac:dyDescent="0.3">
      <c r="A3" s="2" t="s">
        <v>4</v>
      </c>
      <c r="B3" t="s">
        <v>39</v>
      </c>
      <c r="C3" s="7" t="s">
        <v>143</v>
      </c>
      <c r="D3" s="16">
        <v>29</v>
      </c>
      <c r="E3" s="16">
        <v>36</v>
      </c>
      <c r="F3" s="11" t="s">
        <v>75</v>
      </c>
      <c r="G3" s="4" t="s">
        <v>83</v>
      </c>
      <c r="H3">
        <v>33.762799999999999</v>
      </c>
      <c r="I3" s="15"/>
      <c r="J3" s="15"/>
      <c r="K3" s="15"/>
      <c r="L3" s="15"/>
      <c r="M3" s="15"/>
      <c r="N3" s="15"/>
      <c r="O3" s="15"/>
    </row>
    <row r="4" spans="1:17" ht="28.8" x14ac:dyDescent="0.3">
      <c r="A4" s="2" t="s">
        <v>5</v>
      </c>
      <c r="B4" t="s">
        <v>39</v>
      </c>
      <c r="C4" s="7" t="s">
        <v>144</v>
      </c>
      <c r="D4" s="16">
        <v>-92</v>
      </c>
      <c r="E4" s="16">
        <v>-80</v>
      </c>
      <c r="F4" s="11" t="s">
        <v>75</v>
      </c>
      <c r="G4" s="4" t="s">
        <v>84</v>
      </c>
      <c r="H4">
        <v>-84.381</v>
      </c>
      <c r="I4" s="15"/>
      <c r="J4" s="15"/>
      <c r="K4" s="15"/>
      <c r="L4" s="15"/>
      <c r="M4" s="15"/>
      <c r="N4" s="15"/>
      <c r="O4" s="15"/>
    </row>
    <row r="5" spans="1:17" ht="43.2" x14ac:dyDescent="0.3">
      <c r="A5" s="2" t="s">
        <v>7</v>
      </c>
      <c r="B5" t="s">
        <v>41</v>
      </c>
      <c r="C5" s="7" t="s">
        <v>49</v>
      </c>
      <c r="F5" s="11" t="s">
        <v>75</v>
      </c>
      <c r="G5" s="4" t="s">
        <v>88</v>
      </c>
      <c r="H5" t="s">
        <v>125</v>
      </c>
    </row>
    <row r="6" spans="1:17" ht="28.8" x14ac:dyDescent="0.3">
      <c r="A6" s="2" t="s">
        <v>8</v>
      </c>
      <c r="B6" t="s">
        <v>39</v>
      </c>
      <c r="C6" s="7" t="s">
        <v>149</v>
      </c>
      <c r="D6" s="7">
        <v>90</v>
      </c>
      <c r="E6" s="7">
        <v>270</v>
      </c>
      <c r="F6" s="11" t="s">
        <v>76</v>
      </c>
      <c r="G6" s="4" t="s">
        <v>89</v>
      </c>
      <c r="H6">
        <v>180</v>
      </c>
    </row>
    <row r="7" spans="1:17" ht="14.4" x14ac:dyDescent="0.3">
      <c r="A7" s="2" t="s">
        <v>9</v>
      </c>
      <c r="B7" t="s">
        <v>39</v>
      </c>
      <c r="C7" s="7" t="s">
        <v>50</v>
      </c>
      <c r="D7" s="7">
        <v>0</v>
      </c>
      <c r="E7" s="7">
        <v>90</v>
      </c>
      <c r="F7" s="11" t="s">
        <v>76</v>
      </c>
      <c r="G7" s="4" t="s">
        <v>90</v>
      </c>
      <c r="H7">
        <v>10</v>
      </c>
    </row>
    <row r="8" spans="1:17" ht="43.2" x14ac:dyDescent="0.3">
      <c r="A8" s="2" t="s">
        <v>10</v>
      </c>
      <c r="B8" t="s">
        <v>39</v>
      </c>
      <c r="C8" s="7" t="s">
        <v>51</v>
      </c>
      <c r="D8" s="7">
        <v>90</v>
      </c>
      <c r="E8" s="7">
        <v>270</v>
      </c>
      <c r="F8" s="11" t="s">
        <v>77</v>
      </c>
      <c r="G8" s="4" t="s">
        <v>91</v>
      </c>
    </row>
    <row r="9" spans="1:17" ht="72" x14ac:dyDescent="0.3">
      <c r="A9" s="2" t="s">
        <v>11</v>
      </c>
      <c r="B9" t="s">
        <v>39</v>
      </c>
      <c r="C9" s="7" t="s">
        <v>150</v>
      </c>
      <c r="D9" s="7">
        <v>-15</v>
      </c>
      <c r="E9" s="7">
        <v>15</v>
      </c>
      <c r="F9" s="11" t="s">
        <v>77</v>
      </c>
      <c r="G9" s="4" t="s">
        <v>92</v>
      </c>
    </row>
    <row r="10" spans="1:17" ht="14.4" x14ac:dyDescent="0.3">
      <c r="A10" s="2" t="s">
        <v>12</v>
      </c>
      <c r="B10" t="s">
        <v>41</v>
      </c>
      <c r="C10" s="7" t="s">
        <v>52</v>
      </c>
      <c r="F10" s="11" t="s">
        <v>77</v>
      </c>
      <c r="G10" s="4" t="s">
        <v>93</v>
      </c>
    </row>
    <row r="11" spans="1:17" ht="28.8" x14ac:dyDescent="0.3">
      <c r="A11" s="2" t="s">
        <v>13</v>
      </c>
      <c r="B11" t="s">
        <v>39</v>
      </c>
      <c r="C11" s="7" t="s">
        <v>53</v>
      </c>
      <c r="D11" s="7">
        <v>15</v>
      </c>
      <c r="E11" s="7">
        <v>90</v>
      </c>
      <c r="F11" s="11" t="s">
        <v>77</v>
      </c>
      <c r="G11" s="4" t="s">
        <v>94</v>
      </c>
    </row>
    <row r="12" spans="1:17" ht="100.8" x14ac:dyDescent="0.3">
      <c r="A12" s="2" t="s">
        <v>14</v>
      </c>
      <c r="B12" t="s">
        <v>39</v>
      </c>
      <c r="C12" s="7" t="s">
        <v>54</v>
      </c>
      <c r="D12" s="7">
        <v>0.01</v>
      </c>
      <c r="E12" s="7">
        <v>1</v>
      </c>
      <c r="F12" s="11" t="s">
        <v>75</v>
      </c>
      <c r="G12" s="4" t="s">
        <v>95</v>
      </c>
      <c r="H12">
        <v>0.42</v>
      </c>
    </row>
    <row r="13" spans="1:17" ht="28.8" x14ac:dyDescent="0.3">
      <c r="A13" s="2" t="s">
        <v>15</v>
      </c>
      <c r="B13" t="s">
        <v>42</v>
      </c>
      <c r="C13" s="7" t="s">
        <v>55</v>
      </c>
      <c r="D13" s="7">
        <v>0.1</v>
      </c>
      <c r="E13" s="7">
        <v>1000000</v>
      </c>
      <c r="F13" s="11" t="s">
        <v>75</v>
      </c>
      <c r="G13" s="4" t="s">
        <v>96</v>
      </c>
      <c r="H13">
        <v>14000</v>
      </c>
    </row>
    <row r="14" spans="1:17" ht="43.2" x14ac:dyDescent="0.3">
      <c r="A14" s="2" t="s">
        <v>16</v>
      </c>
      <c r="B14" t="s">
        <v>42</v>
      </c>
      <c r="C14" s="7" t="s">
        <v>56</v>
      </c>
      <c r="D14" s="7">
        <v>0.1</v>
      </c>
      <c r="E14" s="7">
        <v>1000000</v>
      </c>
      <c r="F14" s="11" t="s">
        <v>75</v>
      </c>
      <c r="G14" s="4" t="s">
        <v>97</v>
      </c>
      <c r="H14">
        <v>10000</v>
      </c>
    </row>
    <row r="15" spans="1:17" ht="14.4" x14ac:dyDescent="0.3">
      <c r="A15" s="2" t="s">
        <v>37</v>
      </c>
      <c r="B15" t="s">
        <v>41</v>
      </c>
      <c r="C15" s="7" t="s">
        <v>156</v>
      </c>
      <c r="F15" s="12" t="s">
        <v>161</v>
      </c>
      <c r="G15" t="s">
        <v>119</v>
      </c>
      <c r="H15" s="5" t="s">
        <v>157</v>
      </c>
      <c r="I15" s="5"/>
      <c r="J15" s="5"/>
      <c r="K15" s="5"/>
      <c r="L15" s="5"/>
      <c r="M15" s="5"/>
      <c r="N15" s="5"/>
      <c r="O15" s="5"/>
      <c r="P15" s="5"/>
      <c r="Q15" s="5"/>
    </row>
    <row r="16" spans="1:17" ht="28.8" x14ac:dyDescent="0.3">
      <c r="A16" s="2" t="s">
        <v>17</v>
      </c>
      <c r="B16" t="s">
        <v>41</v>
      </c>
      <c r="C16" s="7" t="s">
        <v>57</v>
      </c>
      <c r="F16" s="13" t="s">
        <v>163</v>
      </c>
      <c r="G16" s="4" t="s">
        <v>98</v>
      </c>
      <c r="H16" t="s">
        <v>122</v>
      </c>
    </row>
    <row r="17" spans="1:17" ht="14.4" x14ac:dyDescent="0.3">
      <c r="A17" s="2" t="s">
        <v>18</v>
      </c>
      <c r="B17" t="s">
        <v>41</v>
      </c>
      <c r="C17" s="7" t="s">
        <v>58</v>
      </c>
      <c r="F17" s="13" t="s">
        <v>163</v>
      </c>
      <c r="G17" s="4" t="s">
        <v>99</v>
      </c>
      <c r="H17" t="b">
        <v>1</v>
      </c>
    </row>
    <row r="18" spans="1:17" ht="43.2" x14ac:dyDescent="0.3">
      <c r="A18" s="2" t="s">
        <v>19</v>
      </c>
      <c r="B18" t="s">
        <v>43</v>
      </c>
      <c r="C18" s="7" t="s">
        <v>59</v>
      </c>
      <c r="D18" s="7">
        <v>0</v>
      </c>
      <c r="E18" s="7">
        <v>1</v>
      </c>
      <c r="F18" s="13" t="s">
        <v>163</v>
      </c>
      <c r="G18" s="4" t="s">
        <v>100</v>
      </c>
      <c r="H18">
        <v>0.7</v>
      </c>
    </row>
    <row r="19" spans="1:17" ht="28.8" x14ac:dyDescent="0.3">
      <c r="A19" s="2" t="s">
        <v>23</v>
      </c>
      <c r="B19" t="s">
        <v>45</v>
      </c>
      <c r="C19" s="7" t="s">
        <v>63</v>
      </c>
      <c r="D19" s="7">
        <v>-8.0000000000000002E-3</v>
      </c>
      <c r="E19" s="7">
        <v>-1E-4</v>
      </c>
      <c r="F19" s="13" t="s">
        <v>163</v>
      </c>
      <c r="G19" s="4" t="s">
        <v>104</v>
      </c>
      <c r="H19">
        <v>-4.1000000000000003E-3</v>
      </c>
    </row>
    <row r="20" spans="1:17" ht="43.2" x14ac:dyDescent="0.3">
      <c r="A20" s="2" t="s">
        <v>20</v>
      </c>
      <c r="B20" t="s">
        <v>41</v>
      </c>
      <c r="C20" s="7" t="s">
        <v>60</v>
      </c>
      <c r="F20" s="14" t="s">
        <v>164</v>
      </c>
      <c r="G20" s="4" t="s">
        <v>101</v>
      </c>
      <c r="H20" t="s">
        <v>123</v>
      </c>
    </row>
    <row r="21" spans="1:17" ht="57.6" x14ac:dyDescent="0.3">
      <c r="A21" s="2" t="s">
        <v>21</v>
      </c>
      <c r="B21" t="s">
        <v>41</v>
      </c>
      <c r="C21" s="7" t="s">
        <v>61</v>
      </c>
      <c r="F21" s="14" t="s">
        <v>164</v>
      </c>
      <c r="G21" s="4" t="s">
        <v>102</v>
      </c>
      <c r="H21">
        <v>2</v>
      </c>
    </row>
    <row r="22" spans="1:17" ht="28.8" x14ac:dyDescent="0.3">
      <c r="A22" s="2" t="s">
        <v>27</v>
      </c>
      <c r="B22" t="s">
        <v>42</v>
      </c>
      <c r="C22" s="7" t="s">
        <v>67</v>
      </c>
      <c r="F22" s="14" t="s">
        <v>164</v>
      </c>
      <c r="G22" s="4" t="s">
        <v>109</v>
      </c>
      <c r="H22">
        <v>1000</v>
      </c>
    </row>
    <row r="23" spans="1:17" ht="14.4" x14ac:dyDescent="0.3">
      <c r="A23" s="2" t="s">
        <v>30</v>
      </c>
      <c r="B23" t="s">
        <v>41</v>
      </c>
      <c r="C23" s="7" t="s">
        <v>70</v>
      </c>
      <c r="F23" s="14" t="s">
        <v>164</v>
      </c>
      <c r="G23" s="4" t="s">
        <v>112</v>
      </c>
      <c r="H23">
        <v>11</v>
      </c>
    </row>
    <row r="24" spans="1:17" ht="14.4" x14ac:dyDescent="0.3">
      <c r="A24" s="2" t="s">
        <v>138</v>
      </c>
      <c r="F24" s="2" t="s">
        <v>162</v>
      </c>
      <c r="G24" s="4" t="s">
        <v>160</v>
      </c>
      <c r="H24">
        <v>123456</v>
      </c>
    </row>
    <row r="25" spans="1:17" ht="14.4" x14ac:dyDescent="0.3">
      <c r="A25" s="2" t="s">
        <v>1</v>
      </c>
      <c r="F25" s="2" t="s">
        <v>162</v>
      </c>
      <c r="G25" s="4" t="s">
        <v>79</v>
      </c>
      <c r="I25" s="15"/>
      <c r="J25" s="15"/>
      <c r="K25" s="15"/>
      <c r="L25" s="15"/>
      <c r="M25" s="15"/>
      <c r="N25" s="15"/>
      <c r="O25" s="15"/>
    </row>
    <row r="26" spans="1:17" ht="14.4" x14ac:dyDescent="0.3">
      <c r="A26" s="2" t="s">
        <v>152</v>
      </c>
      <c r="F26" s="2" t="s">
        <v>162</v>
      </c>
      <c r="G26" s="4" t="s">
        <v>80</v>
      </c>
      <c r="H26" t="s">
        <v>148</v>
      </c>
      <c r="I26" s="15"/>
      <c r="J26" s="15"/>
      <c r="K26" s="15"/>
      <c r="L26" s="15"/>
      <c r="M26" s="15"/>
      <c r="N26" s="15"/>
      <c r="O26" s="15"/>
    </row>
    <row r="27" spans="1:17" ht="14.4" x14ac:dyDescent="0.3">
      <c r="A27" s="2" t="s">
        <v>2</v>
      </c>
      <c r="F27" s="2" t="s">
        <v>162</v>
      </c>
      <c r="G27" s="4" t="s">
        <v>81</v>
      </c>
      <c r="H27" t="s">
        <v>120</v>
      </c>
    </row>
    <row r="28" spans="1:17" ht="28.8" x14ac:dyDescent="0.3">
      <c r="A28" s="2" t="s">
        <v>3</v>
      </c>
      <c r="C28" s="7" t="s">
        <v>153</v>
      </c>
      <c r="F28" s="2" t="s">
        <v>162</v>
      </c>
      <c r="G28" s="4" t="s">
        <v>82</v>
      </c>
      <c r="H28" s="3">
        <v>45383</v>
      </c>
      <c r="I28" s="15"/>
      <c r="J28" s="15"/>
      <c r="K28" s="15"/>
      <c r="L28" s="15"/>
      <c r="M28" s="15"/>
      <c r="N28" s="15"/>
      <c r="O28" s="15"/>
      <c r="P28" s="3"/>
      <c r="Q28" s="3"/>
    </row>
    <row r="29" spans="1:17" ht="14.4" x14ac:dyDescent="0.3">
      <c r="A29" s="2" t="s">
        <v>142</v>
      </c>
      <c r="B29" t="s">
        <v>39</v>
      </c>
      <c r="C29" s="7" t="s">
        <v>145</v>
      </c>
      <c r="D29" s="7">
        <f>D3</f>
        <v>29</v>
      </c>
      <c r="E29" s="7">
        <f>E3</f>
        <v>36</v>
      </c>
      <c r="F29" s="2" t="s">
        <v>162</v>
      </c>
      <c r="G29" s="4" t="s">
        <v>85</v>
      </c>
      <c r="H29">
        <v>33.763199999999998</v>
      </c>
    </row>
    <row r="30" spans="1:17" ht="14.4" x14ac:dyDescent="0.3">
      <c r="A30" s="2" t="s">
        <v>141</v>
      </c>
      <c r="B30" t="s">
        <v>39</v>
      </c>
      <c r="C30" s="7" t="s">
        <v>146</v>
      </c>
      <c r="D30" s="7">
        <f>D4</f>
        <v>-92</v>
      </c>
      <c r="E30" s="7">
        <f>E4</f>
        <v>-80</v>
      </c>
      <c r="F30" s="2" t="s">
        <v>162</v>
      </c>
      <c r="G30" s="4" t="s">
        <v>86</v>
      </c>
      <c r="H30">
        <v>-84.381</v>
      </c>
    </row>
    <row r="31" spans="1:17" ht="14.4" x14ac:dyDescent="0.3">
      <c r="A31" s="2" t="s">
        <v>6</v>
      </c>
      <c r="B31" t="s">
        <v>40</v>
      </c>
      <c r="C31" s="7" t="s">
        <v>48</v>
      </c>
      <c r="D31" s="7">
        <v>-100</v>
      </c>
      <c r="E31" s="7">
        <v>3000</v>
      </c>
      <c r="F31" s="2" t="s">
        <v>162</v>
      </c>
      <c r="G31" s="4" t="s">
        <v>87</v>
      </c>
      <c r="H31">
        <v>320</v>
      </c>
    </row>
    <row r="32" spans="1:17" ht="14.4" x14ac:dyDescent="0.3">
      <c r="A32" s="2" t="s">
        <v>22</v>
      </c>
      <c r="B32" t="s">
        <v>44</v>
      </c>
      <c r="C32" s="7" t="s">
        <v>62</v>
      </c>
      <c r="D32" s="7">
        <v>0</v>
      </c>
      <c r="E32" s="7">
        <v>0.5</v>
      </c>
      <c r="F32" s="2" t="s">
        <v>162</v>
      </c>
      <c r="G32" s="4" t="s">
        <v>103</v>
      </c>
      <c r="H32">
        <v>0.1</v>
      </c>
    </row>
    <row r="33" spans="1:8" ht="144" x14ac:dyDescent="0.3">
      <c r="A33" s="2" t="s">
        <v>167</v>
      </c>
      <c r="B33" t="s">
        <v>39</v>
      </c>
      <c r="C33" s="7" t="s">
        <v>168</v>
      </c>
      <c r="D33" s="7">
        <v>-15</v>
      </c>
      <c r="E33" s="7">
        <v>15</v>
      </c>
      <c r="F33" s="2" t="s">
        <v>162</v>
      </c>
      <c r="G33" s="4" t="s">
        <v>105</v>
      </c>
      <c r="H33">
        <v>0</v>
      </c>
    </row>
    <row r="34" spans="1:8" ht="28.8" x14ac:dyDescent="0.3">
      <c r="A34" s="2" t="s">
        <v>24</v>
      </c>
      <c r="B34" t="s">
        <v>40</v>
      </c>
      <c r="C34" s="7" t="s">
        <v>64</v>
      </c>
      <c r="D34" s="7">
        <v>0</v>
      </c>
      <c r="E34" s="7">
        <v>5</v>
      </c>
      <c r="F34" s="2" t="s">
        <v>162</v>
      </c>
      <c r="G34" s="4" t="s">
        <v>106</v>
      </c>
    </row>
    <row r="35" spans="1:8" ht="43.2" x14ac:dyDescent="0.3">
      <c r="A35" s="2" t="s">
        <v>25</v>
      </c>
      <c r="B35" t="s">
        <v>40</v>
      </c>
      <c r="C35" s="7" t="s">
        <v>65</v>
      </c>
      <c r="D35" s="7">
        <v>0</v>
      </c>
      <c r="E35" s="7">
        <v>10</v>
      </c>
      <c r="F35" s="2" t="s">
        <v>162</v>
      </c>
      <c r="G35" s="4" t="s">
        <v>107</v>
      </c>
    </row>
    <row r="36" spans="1:8" ht="28.8" x14ac:dyDescent="0.3">
      <c r="A36" s="2" t="s">
        <v>26</v>
      </c>
      <c r="B36" t="s">
        <v>42</v>
      </c>
      <c r="C36" s="7" t="s">
        <v>66</v>
      </c>
      <c r="D36" s="7">
        <v>0.1</v>
      </c>
      <c r="E36" s="7">
        <v>8000</v>
      </c>
      <c r="F36" s="2" t="s">
        <v>162</v>
      </c>
      <c r="G36" s="4" t="s">
        <v>108</v>
      </c>
    </row>
    <row r="37" spans="1:8" ht="14.4" x14ac:dyDescent="0.3">
      <c r="A37" s="2" t="s">
        <v>28</v>
      </c>
      <c r="B37" t="s">
        <v>41</v>
      </c>
      <c r="C37" s="7" t="s">
        <v>68</v>
      </c>
      <c r="D37" s="7">
        <v>1</v>
      </c>
      <c r="E37" s="7">
        <v>60</v>
      </c>
      <c r="F37" s="2" t="s">
        <v>162</v>
      </c>
      <c r="G37" s="4" t="s">
        <v>110</v>
      </c>
    </row>
    <row r="38" spans="1:8" ht="14.4" x14ac:dyDescent="0.3">
      <c r="A38" s="2" t="s">
        <v>29</v>
      </c>
      <c r="B38" t="s">
        <v>41</v>
      </c>
      <c r="C38" s="7" t="s">
        <v>69</v>
      </c>
      <c r="D38" s="7">
        <v>1</v>
      </c>
      <c r="E38" s="7">
        <v>1000</v>
      </c>
      <c r="F38" s="2" t="s">
        <v>162</v>
      </c>
      <c r="G38" s="4" t="s">
        <v>111</v>
      </c>
    </row>
    <row r="39" spans="1:8" ht="28.8" x14ac:dyDescent="0.3">
      <c r="A39" s="2" t="s">
        <v>31</v>
      </c>
      <c r="B39" t="s">
        <v>41</v>
      </c>
      <c r="C39" s="7" t="s">
        <v>71</v>
      </c>
      <c r="F39" s="2" t="s">
        <v>162</v>
      </c>
      <c r="G39" s="4" t="s">
        <v>113</v>
      </c>
    </row>
    <row r="40" spans="1:8" ht="14.4" x14ac:dyDescent="0.3">
      <c r="A40" s="2" t="s">
        <v>32</v>
      </c>
      <c r="B40" t="s">
        <v>41</v>
      </c>
      <c r="C40" s="7" t="s">
        <v>72</v>
      </c>
      <c r="F40" s="2" t="s">
        <v>162</v>
      </c>
      <c r="G40" s="4" t="s">
        <v>114</v>
      </c>
    </row>
    <row r="41" spans="1:8" ht="28.8" x14ac:dyDescent="0.3">
      <c r="A41" s="2" t="s">
        <v>33</v>
      </c>
      <c r="B41" t="s">
        <v>41</v>
      </c>
      <c r="C41" s="7" t="s">
        <v>73</v>
      </c>
      <c r="F41" s="2" t="s">
        <v>162</v>
      </c>
      <c r="G41" s="4" t="s">
        <v>115</v>
      </c>
      <c r="H41" t="s">
        <v>131</v>
      </c>
    </row>
    <row r="42" spans="1:8" ht="43.2" x14ac:dyDescent="0.3">
      <c r="A42" s="9" t="s">
        <v>34</v>
      </c>
      <c r="B42" s="6"/>
      <c r="C42" s="7" t="s">
        <v>158</v>
      </c>
      <c r="D42" s="7">
        <v>1</v>
      </c>
      <c r="E42" s="7">
        <v>36</v>
      </c>
      <c r="F42" s="2" t="s">
        <v>162</v>
      </c>
      <c r="G42" s="6" t="s">
        <v>116</v>
      </c>
      <c r="H42">
        <v>26</v>
      </c>
    </row>
    <row r="43" spans="1:8" ht="14.4" x14ac:dyDescent="0.3">
      <c r="A43" s="2" t="s">
        <v>35</v>
      </c>
      <c r="B43" t="s">
        <v>46</v>
      </c>
      <c r="C43" s="7" t="s">
        <v>155</v>
      </c>
      <c r="F43" s="2" t="s">
        <v>162</v>
      </c>
      <c r="G43" t="s">
        <v>117</v>
      </c>
      <c r="H43">
        <v>2.2160000000000002</v>
      </c>
    </row>
    <row r="44" spans="1:8" ht="14.4" x14ac:dyDescent="0.3">
      <c r="A44" s="2" t="s">
        <v>36</v>
      </c>
      <c r="B44" t="s">
        <v>46</v>
      </c>
      <c r="C44" s="7" t="s">
        <v>154</v>
      </c>
      <c r="F44" s="2" t="s">
        <v>162</v>
      </c>
      <c r="G44" t="s">
        <v>118</v>
      </c>
      <c r="H44">
        <v>1.0449999999999999</v>
      </c>
    </row>
    <row r="45" spans="1:8" ht="14.4" x14ac:dyDescent="0.3"/>
    <row r="46" spans="1:8" ht="14.4" x14ac:dyDescent="0.3"/>
    <row r="47" spans="1:8" ht="14.4" x14ac:dyDescent="0.3"/>
    <row r="48" spans="1: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spans="3:8" ht="14.4" x14ac:dyDescent="0.3"/>
    <row r="66" spans="3:8" ht="14.4" x14ac:dyDescent="0.3"/>
    <row r="67" spans="3:8" ht="14.4" x14ac:dyDescent="0.3"/>
    <row r="68" spans="3:8" ht="14.4" x14ac:dyDescent="0.3"/>
    <row r="69" spans="3:8" ht="14.4" x14ac:dyDescent="0.3"/>
    <row r="70" spans="3:8" ht="14.4" x14ac:dyDescent="0.3"/>
    <row r="71" spans="3:8" ht="14.4" x14ac:dyDescent="0.3"/>
    <row r="72" spans="3:8" s="1" customFormat="1" ht="14.4" x14ac:dyDescent="0.3">
      <c r="C72" s="8"/>
      <c r="D72" s="8"/>
      <c r="E72" s="8"/>
      <c r="H72"/>
    </row>
  </sheetData>
  <autoFilter ref="A1:P1" xr:uid="{006DEC40-0AEA-48C7-A672-D3D39C820D4C}"/>
  <dataValidations count="9">
    <dataValidation allowBlank="1" showInputMessage="1" showErrorMessage="1" sqref="F10:F11 A6:G9" xr:uid="{F4EAA075-0913-4244-99DB-8F7E09580C6F}"/>
    <dataValidation type="decimal" allowBlank="1" showInputMessage="1" showErrorMessage="1" sqref="Q6 Q8" xr:uid="{A1B6437F-F65C-4433-BE8D-7B0EEED3C25F}">
      <formula1>90</formula1>
      <formula2>270</formula2>
    </dataValidation>
    <dataValidation type="decimal" allowBlank="1" showInputMessage="1" showErrorMessage="1" sqref="Q7" xr:uid="{C2AB6A0D-2AF5-4E0A-A44E-EB5C46EDA639}">
      <formula1>0</formula1>
      <formula2>90</formula2>
    </dataValidation>
    <dataValidation type="decimal" allowBlank="1" showInputMessage="1" showErrorMessage="1" sqref="Q9" xr:uid="{4EFF6760-3E93-4AB8-966D-26342329AF30}">
      <formula1>-15</formula1>
      <formula2>15</formula2>
    </dataValidation>
    <dataValidation type="decimal" allowBlank="1" showInputMessage="1" showErrorMessage="1" sqref="Q11" xr:uid="{149615E7-156F-470B-A6F6-D662D71244F7}">
      <formula1>15</formula1>
      <formula2>90</formula2>
    </dataValidation>
    <dataValidation type="decimal" allowBlank="1" showInputMessage="1" showErrorMessage="1" sqref="Q12 Q18:Q19" xr:uid="{DC3CF789-9236-4BFB-9193-0CADE6C64F5C}">
      <formula1>0</formula1>
      <formula2>1</formula2>
    </dataValidation>
    <dataValidation type="decimal" allowBlank="1" showInputMessage="1" showErrorMessage="1" sqref="Q21:Q31 I21:P24 H21:H27 P28" xr:uid="{DE15EEA2-564B-4725-B163-531A5555CC72}">
      <formula1>1</formula1>
      <formula2>8</formula2>
    </dataValidation>
    <dataValidation type="decimal" allowBlank="1" showInputMessage="1" showErrorMessage="1" sqref="H3:P4 H6:P9 H11:P14 H18:P19 H29:P36" xr:uid="{125C9E85-3D3A-4DF9-B762-18935E047F54}">
      <formula1>$D3</formula1>
      <formula2>$E3</formula2>
    </dataValidation>
    <dataValidation type="whole" allowBlank="1" showInputMessage="1" showErrorMessage="1" sqref="H37:P38 I42:P42" xr:uid="{F887CD3D-0FE7-4376-AA50-BD11E81BF942}">
      <formula1>$D37</formula1>
      <formula2>$E37</formula2>
    </dataValidation>
  </dataValidations>
  <hyperlinks>
    <hyperlink ref="H15" r:id="rId1" xr:uid="{5C93C5ED-579C-41B4-A7D1-A8CDF4F0176B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223C3D1-FC64-4D8E-97EE-F08B9E5097DB}">
          <x14:formula1>
            <xm:f>Sheet2!$A$3:$A$6</xm:f>
          </x14:formula1>
          <xm:sqref>H17:Q17 H10:Q10</xm:sqref>
        </x14:dataValidation>
        <x14:dataValidation type="list" allowBlank="1" showInputMessage="1" showErrorMessage="1" xr:uid="{46B60A04-35FA-4590-A06B-1471460D51AD}">
          <x14:formula1>
            <xm:f>Sheet2!$C$3:$C$5</xm:f>
          </x14:formula1>
          <xm:sqref>H20:Q20</xm:sqref>
        </x14:dataValidation>
        <x14:dataValidation type="list" allowBlank="1" showInputMessage="1" showErrorMessage="1" xr:uid="{35FE9848-EB7E-45F9-9883-0AD602F95FA7}">
          <x14:formula1>
            <xm:f>Sheet2!$D$3:$D$6</xm:f>
          </x14:formula1>
          <xm:sqref>H16:Q16</xm:sqref>
        </x14:dataValidation>
        <x14:dataValidation type="list" allowBlank="1" showInputMessage="1" showErrorMessage="1" xr:uid="{972148E4-6D29-4081-A743-9FB852FDD377}">
          <x14:formula1>
            <xm:f>Sheet2!$B$3:$B$8</xm:f>
          </x14:formula1>
          <xm:sqref>H5:Q5</xm:sqref>
        </x14:dataValidation>
        <x14:dataValidation type="list" allowBlank="1" showInputMessage="1" showErrorMessage="1" xr:uid="{9623795A-EDE7-4A06-B4FB-BA80D76D5978}">
          <x14:formula1>
            <xm:f>Sheet2!$F$3:$F$5</xm:f>
          </x14:formula1>
          <xm:sqref>H45:H72 H27:Q27</xm:sqref>
        </x14:dataValidation>
        <x14:dataValidation type="list" allowBlank="1" showInputMessage="1" showErrorMessage="1" xr:uid="{623BD7EC-0E03-4AAF-8D9F-30EF924CE107}">
          <x14:formula1>
            <xm:f>Sheet2!$E$3:$E$6</xm:f>
          </x14:formula1>
          <xm:sqref>S1:S72 H41:Q41</xm:sqref>
        </x14:dataValidation>
        <x14:dataValidation type="list" allowBlank="1" showInputMessage="1" showErrorMessage="1" xr:uid="{C4B8A513-0B54-407B-8C48-4FB080ED7CED}">
          <x14:formula1>
            <xm:f>Sheet2!$E$3:$E$5</xm:f>
          </x14:formula1>
          <xm:sqref>T1:T72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9F9C-AEC0-44CF-9E93-296F3E870759}">
  <dimension ref="A2:F8"/>
  <sheetViews>
    <sheetView workbookViewId="0">
      <selection activeCell="D6" sqref="D6"/>
    </sheetView>
  </sheetViews>
  <sheetFormatPr defaultRowHeight="14.4" x14ac:dyDescent="0.3"/>
  <cols>
    <col min="1" max="1" width="17" bestFit="1" customWidth="1"/>
  </cols>
  <sheetData>
    <row r="2" spans="1:6" x14ac:dyDescent="0.3">
      <c r="A2" t="s">
        <v>132</v>
      </c>
      <c r="B2" t="s">
        <v>88</v>
      </c>
      <c r="C2" t="s">
        <v>101</v>
      </c>
      <c r="D2" t="s">
        <v>98</v>
      </c>
      <c r="E2" t="s">
        <v>115</v>
      </c>
      <c r="F2" t="s">
        <v>81</v>
      </c>
    </row>
    <row r="3" spans="1:6" x14ac:dyDescent="0.3">
      <c r="A3" t="b">
        <v>1</v>
      </c>
      <c r="B3" t="s">
        <v>125</v>
      </c>
      <c r="C3" t="s">
        <v>123</v>
      </c>
      <c r="D3" t="s">
        <v>122</v>
      </c>
      <c r="E3" t="s">
        <v>128</v>
      </c>
      <c r="F3" t="s">
        <v>120</v>
      </c>
    </row>
    <row r="4" spans="1:6" x14ac:dyDescent="0.3">
      <c r="A4" t="b">
        <v>0</v>
      </c>
      <c r="B4" t="s">
        <v>121</v>
      </c>
      <c r="C4" t="s">
        <v>127</v>
      </c>
      <c r="D4" t="s">
        <v>129</v>
      </c>
      <c r="E4" t="s">
        <v>124</v>
      </c>
      <c r="F4" t="s">
        <v>133</v>
      </c>
    </row>
    <row r="5" spans="1:6" x14ac:dyDescent="0.3">
      <c r="A5" t="s">
        <v>134</v>
      </c>
      <c r="B5" t="s">
        <v>135</v>
      </c>
      <c r="C5" t="s">
        <v>130</v>
      </c>
      <c r="D5" t="s">
        <v>169</v>
      </c>
      <c r="E5" t="s">
        <v>131</v>
      </c>
      <c r="F5" t="s">
        <v>126</v>
      </c>
    </row>
    <row r="6" spans="1:6" x14ac:dyDescent="0.3">
      <c r="A6" t="s">
        <v>130</v>
      </c>
      <c r="B6" t="s">
        <v>136</v>
      </c>
      <c r="D6" t="s">
        <v>130</v>
      </c>
      <c r="E6" t="s">
        <v>130</v>
      </c>
    </row>
    <row r="7" spans="1:6" x14ac:dyDescent="0.3">
      <c r="B7" t="s">
        <v>137</v>
      </c>
    </row>
    <row r="8" spans="1:6" x14ac:dyDescent="0.3">
      <c r="B8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79493F3052A745A683BC258D004C97" ma:contentTypeVersion="4" ma:contentTypeDescription="Create a new document." ma:contentTypeScope="" ma:versionID="0812dfeccf7b4fe028e725a345c69d73">
  <xsd:schema xmlns:xsd="http://www.w3.org/2001/XMLSchema" xmlns:xs="http://www.w3.org/2001/XMLSchema" xmlns:p="http://schemas.microsoft.com/office/2006/metadata/properties" xmlns:ns2="28939c18-de37-4396-8183-cd02c40a8e94" targetNamespace="http://schemas.microsoft.com/office/2006/metadata/properties" ma:root="true" ma:fieldsID="4fde65ad523702d8346667259d57a15d" ns2:_="">
    <xsd:import namespace="28939c18-de37-4396-8183-cd02c40a8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9c18-de37-4396-8183-cd02c40a8e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A6F471-CEEE-4540-8F42-BE0602534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F53861-B155-492A-99B6-D723A0A74F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939c18-de37-4396-8183-cd02c40a8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2FE6B1-2DE4-4D01-BD10-6E66CB31A175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28939c18-de37-4396-8183-cd02c40a8e94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</cp:lastModifiedBy>
  <cp:revision/>
  <dcterms:created xsi:type="dcterms:W3CDTF">2024-02-12T14:55:51Z</dcterms:created>
  <dcterms:modified xsi:type="dcterms:W3CDTF">2025-06-20T21:42:09Z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0x010100F879493F3052A745A683BC258D004C97</vt:lpwstr>
  </property>
  <property fmtid="{D5CDD505-2E9C-101B-9397-08002B2CF9AE}" pid="3" name="MSIP_Label_ed3826ce-7c18-471d-9596-93de5bae332e_Enabled">
    <vt:lpwstr>true</vt:lpwstr>
  </property>
  <property fmtid="{D5CDD505-2E9C-101B-9397-08002B2CF9AE}" pid="4" name="MSIP_Label_ed3826ce-7c18-471d-9596-93de5bae332e_SetDate">
    <vt:lpwstr>2024-02-12T20:42:38Z</vt:lpwstr>
  </property>
  <property fmtid="{D5CDD505-2E9C-101B-9397-08002B2CF9AE}" pid="5" name="MSIP_Label_ed3826ce-7c18-471d-9596-93de5bae332e_Method">
    <vt:lpwstr>Standard</vt:lpwstr>
  </property>
  <property fmtid="{D5CDD505-2E9C-101B-9397-08002B2CF9AE}" pid="6" name="MSIP_Label_ed3826ce-7c18-471d-9596-93de5bae332e_Name">
    <vt:lpwstr>Internal</vt:lpwstr>
  </property>
  <property fmtid="{D5CDD505-2E9C-101B-9397-08002B2CF9AE}" pid="7" name="MSIP_Label_ed3826ce-7c18-471d-9596-93de5bae332e_SiteId">
    <vt:lpwstr>c0a02e2d-1186-410a-8895-0a4a252ebf17</vt:lpwstr>
  </property>
  <property fmtid="{D5CDD505-2E9C-101B-9397-08002B2CF9AE}" pid="8" name="MSIP_Label_ed3826ce-7c18-471d-9596-93de5bae332e_ActionId">
    <vt:lpwstr>bd43242b-5bbd-49e4-a96a-a2ce43b91a98</vt:lpwstr>
  </property>
  <property fmtid="{D5CDD505-2E9C-101B-9397-08002B2CF9AE}" pid="9" name="MSIP_Label_ed3826ce-7c18-471d-9596-93de5bae332e_ContentBits">
    <vt:lpwstr>0</vt:lpwstr>
  </property>
</Properties>
</file>